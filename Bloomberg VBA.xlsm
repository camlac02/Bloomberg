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rv-edu-fs01.edu.atlas.local\profiles_etu\cl195419\"/>
    </mc:Choice>
  </mc:AlternateContent>
  <xr:revisionPtr revIDLastSave="0" documentId="13_ncr:1_{9896C479-AFF4-4F96-939C-C0E22B2C353E}" xr6:coauthVersionLast="36" xr6:coauthVersionMax="36" xr10:uidLastSave="{00000000-0000-0000-0000-000000000000}"/>
  <bookViews>
    <workbookView xWindow="-105" yWindow="-105" windowWidth="23250" windowHeight="12450" activeTab="2" xr2:uid="{00000000-000D-0000-FFFF-FFFF00000000}"/>
  </bookViews>
  <sheets>
    <sheet name="Sheet1" sheetId="1" r:id="rId1"/>
    <sheet name="INPUT" sheetId="2" r:id="rId2"/>
    <sheet name="Affichage" sheetId="6" r:id="rId3"/>
    <sheet name="OUTPUT" sheetId="3" r:id="rId4"/>
    <sheet name="Parameters" sheetId="4" r:id="rId5"/>
    <sheet name="Data" sheetId="5" r:id="rId6"/>
  </sheets>
  <functionGroups builtInGroupCount="19"/>
  <definedNames>
    <definedName name="currency">INPUT!$N$8</definedName>
    <definedName name="end_date">INPUT!$N$7</definedName>
    <definedName name="fields">INPUT!#REF!</definedName>
    <definedName name="rng_days">INPUT!$N$9</definedName>
    <definedName name="rng_field">INPUT!$J$7</definedName>
    <definedName name="rng_fill">INPUT!$N$10</definedName>
    <definedName name="rng_option">INPUT!$N$6:$N$11</definedName>
    <definedName name="rng_periodicity">INPUT!$N$11</definedName>
    <definedName name="rng_ticker">INPUT!$G$7</definedName>
    <definedName name="Securities">INPUT!$G$6</definedName>
    <definedName name="start_date">INPUT!$N$6</definedName>
  </definedNames>
  <calcPr calcId="191029"/>
</workbook>
</file>

<file path=xl/calcChain.xml><?xml version="1.0" encoding="utf-8"?>
<calcChain xmlns="http://schemas.openxmlformats.org/spreadsheetml/2006/main">
  <c r="B6" i="1" l="1"/>
  <c r="B33" i="1" l="1"/>
  <c r="B34" i="1"/>
  <c r="B35" i="1"/>
  <c r="B36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5" i="1"/>
  <c r="A4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5" i="1"/>
  <c r="B4" i="1"/>
  <c r="N7" i="2"/>
  <c r="N6" i="2" l="1"/>
</calcChain>
</file>

<file path=xl/sharedStrings.xml><?xml version="1.0" encoding="utf-8"?>
<sst xmlns="http://schemas.openxmlformats.org/spreadsheetml/2006/main" count="133" uniqueCount="114">
  <si>
    <t>Bloomberg COM v3 Data Control - History Example</t>
  </si>
  <si>
    <t>IBM US Equity</t>
  </si>
  <si>
    <t>Fields</t>
  </si>
  <si>
    <t>Secutities</t>
  </si>
  <si>
    <t>PX_LAST</t>
  </si>
  <si>
    <t>PX_ASK</t>
  </si>
  <si>
    <t>OUTPUT</t>
  </si>
  <si>
    <t>date = 03/08/2009</t>
  </si>
  <si>
    <t>PX_LAST = 114,5433</t>
  </si>
  <si>
    <t>PX_ASK = 114,5051</t>
  </si>
  <si>
    <t>PX_BID = 114,4764</t>
  </si>
  <si>
    <t>date = 04/08/2009</t>
  </si>
  <si>
    <t>PX_LAST = 114,2376</t>
  </si>
  <si>
    <t>PX_ASK = 114,3522</t>
  </si>
  <si>
    <t>PX_BID = 114,2949</t>
  </si>
  <si>
    <t>date = 05/08/2009</t>
  </si>
  <si>
    <t>PX_LAST = 113,1583</t>
  </si>
  <si>
    <t>PX_ASK = 113,1965</t>
  </si>
  <si>
    <t>PX_BID = 113,1583</t>
  </si>
  <si>
    <t>date = 06/08/2009</t>
  </si>
  <si>
    <t>PX_LAST = 112,1172</t>
  </si>
  <si>
    <t>PX_ASK = 112,0694</t>
  </si>
  <si>
    <t>PX_BID = 112,0216</t>
  </si>
  <si>
    <t>date = 07/08/2009</t>
  </si>
  <si>
    <t>PX_LAST = 113,9797</t>
  </si>
  <si>
    <t>PX_ASK = 114,0657</t>
  </si>
  <si>
    <t>PX_BID = 114,037</t>
  </si>
  <si>
    <t>date = 10/08/2009</t>
  </si>
  <si>
    <t>PX_LAST = 113,378</t>
  </si>
  <si>
    <t>PX_ASK = 113,483</t>
  </si>
  <si>
    <t>PX_BID = 113,4735</t>
  </si>
  <si>
    <t>date = 11/08/2009</t>
  </si>
  <si>
    <t>PX_LAST = 112,5088</t>
  </si>
  <si>
    <t>PX_ASK = 112,461</t>
  </si>
  <si>
    <t>PX_BID = 112,4515</t>
  </si>
  <si>
    <t>date = 12/08/2009</t>
  </si>
  <si>
    <t>PX_LAST = 113,9415</t>
  </si>
  <si>
    <t>PX_ASK = 113,9415</t>
  </si>
  <si>
    <t>PX_BID = 113,932</t>
  </si>
  <si>
    <t>date = 13/08/2009</t>
  </si>
  <si>
    <t>PX_LAST = 114,2185</t>
  </si>
  <si>
    <t>PX_ASK = 114,2949</t>
  </si>
  <si>
    <t>date = 14/08/2009</t>
  </si>
  <si>
    <t>PX_LAST = 113,2538</t>
  </si>
  <si>
    <t>PX_ASK = 113,206</t>
  </si>
  <si>
    <t>PX_BID = 113,2538</t>
  </si>
  <si>
    <t>date = 17/08/2009</t>
  </si>
  <si>
    <t>PX_LAST = 111,6205</t>
  </si>
  <si>
    <t>PX_ASK = 111,6491</t>
  </si>
  <si>
    <t>PX_BID = 111,6396</t>
  </si>
  <si>
    <t>date = 18/08/2009</t>
  </si>
  <si>
    <t>PX_LAST = 112,3559</t>
  </si>
  <si>
    <t>PX_ASK = 112,3273</t>
  </si>
  <si>
    <t>PX_BID = 112,3177</t>
  </si>
  <si>
    <t>date = 19/08/2009</t>
  </si>
  <si>
    <t>PX_ASK = 113,2538</t>
  </si>
  <si>
    <t>PX_BID = 113,2156</t>
  </si>
  <si>
    <t>date = 20/08/2009</t>
  </si>
  <si>
    <t>PX_LAST = 113,6168</t>
  </si>
  <si>
    <t>PX_ASK = 113,5499</t>
  </si>
  <si>
    <t>PX_BID = 113,5403</t>
  </si>
  <si>
    <t>date = 21/08/2009</t>
  </si>
  <si>
    <t>PX_LAST = 114,5242</t>
  </si>
  <si>
    <t>PX_ASK = 114,4191</t>
  </si>
  <si>
    <t>PX_BID = 114,4095</t>
  </si>
  <si>
    <t>date = 24/08/2009</t>
  </si>
  <si>
    <t>PX_LAST = 113,9702</t>
  </si>
  <si>
    <t>PX_ASK = 114,0084</t>
  </si>
  <si>
    <t>PX_BID = 113,9893</t>
  </si>
  <si>
    <t>date = 25/08/2009</t>
  </si>
  <si>
    <t>PX_LAST = 113,5021</t>
  </si>
  <si>
    <t>PX_BID = 113,5117</t>
  </si>
  <si>
    <t>date = 26/08/2009</t>
  </si>
  <si>
    <t>PX_LAST = 114,1134</t>
  </si>
  <si>
    <t>PX_ASK = 114,1803</t>
  </si>
  <si>
    <t>PX_BID = 114,1803</t>
  </si>
  <si>
    <t>date = 27/08/2009</t>
  </si>
  <si>
    <t>PX_LAST = 114,0752</t>
  </si>
  <si>
    <t>PX_ASK = 114,123</t>
  </si>
  <si>
    <t>PX_BID = 114,1134</t>
  </si>
  <si>
    <t>date = 28/08/2009</t>
  </si>
  <si>
    <t>PX_LAST = 112,9195</t>
  </si>
  <si>
    <t>PX_ASK = 112,9195</t>
  </si>
  <si>
    <t>PX_BID = 112,8622</t>
  </si>
  <si>
    <t>date = 31/08/2009</t>
  </si>
  <si>
    <t>PX_LAST = 112,7571</t>
  </si>
  <si>
    <t>PX_ASK = 112,7476</t>
  </si>
  <si>
    <t>PX_BID = 112,7476</t>
  </si>
  <si>
    <t>date = 01/09/2009</t>
  </si>
  <si>
    <t>PX_LAST = 111,4581</t>
  </si>
  <si>
    <t>PX_ASK = 111,4676</t>
  </si>
  <si>
    <t>PX_BID = 111,4581</t>
  </si>
  <si>
    <t>Securities</t>
  </si>
  <si>
    <t>Start date</t>
  </si>
  <si>
    <t>End date</t>
  </si>
  <si>
    <t>Field</t>
  </si>
  <si>
    <t>Currency</t>
  </si>
  <si>
    <t>Days</t>
  </si>
  <si>
    <t>Fill</t>
  </si>
  <si>
    <t>Periodicity</t>
  </si>
  <si>
    <t>Historical Data Retrieval</t>
  </si>
  <si>
    <t>EUR</t>
  </si>
  <si>
    <t>AAPL US Equity</t>
  </si>
  <si>
    <t>TTE FP Equity</t>
  </si>
  <si>
    <t>DAILY</t>
  </si>
  <si>
    <t>WEEKLY</t>
  </si>
  <si>
    <t>MONTHLY</t>
  </si>
  <si>
    <t>QUATERLY</t>
  </si>
  <si>
    <t>YEARLY</t>
  </si>
  <si>
    <t>PREVIOUS_VALUE</t>
  </si>
  <si>
    <t>NIL_VALUE</t>
  </si>
  <si>
    <t>NON_TRADING_WEEKDAYS</t>
  </si>
  <si>
    <t>ACTIVE_DAYS_ONLY</t>
  </si>
  <si>
    <t xml:space="preserve">ALL_CALENDAR_DAYS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</si>
</sst>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\x_);\(#,##0_ \x\);#,##0_ \x_);@_ _x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8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8" xfId="0" applyBorder="1"/>
    <xf numFmtId="0" fontId="0" fillId="3" borderId="1" xfId="0" applyFill="1" applyBorder="1"/>
    <xf numFmtId="0" fontId="0" fillId="4" borderId="0" xfId="0" applyFill="1"/>
    <xf numFmtId="14" fontId="0" fillId="0" borderId="1" xfId="0" applyNumberFormat="1" applyBorder="1"/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0" xfId="0" applyBorder="1" applyAlignment="1">
      <alignment horizontal="right"/>
    </xf>
    <xf numFmtId="164" fontId="0" fillId="0" borderId="0" xfId="0" applyNumberFormat="1"/>
    <xf numFmtId="0" fontId="1" fillId="0" borderId="0" xfId="0" applyFont="1"/>
    <xf numFmtId="2" fontId="0" fillId="0" borderId="0" xfId="0" applyNumberFormat="1" applyAlignment="1">
      <alignment wrapText="1"/>
    </xf>
    <xf numFmtId="0" fontId="3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 wrapText="1"/>
    </xf>
    <xf numFmtId="14" fontId="0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</xdr:row>
          <xdr:rowOff>161925</xdr:rowOff>
        </xdr:from>
        <xdr:to>
          <xdr:col>2</xdr:col>
          <xdr:colOff>1314450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Request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6"/>
  <sheetViews>
    <sheetView workbookViewId="0">
      <selection activeCell="B5" sqref="B5:B6"/>
    </sheetView>
  </sheetViews>
  <sheetFormatPr baseColWidth="10" defaultColWidth="9.140625" defaultRowHeight="15" x14ac:dyDescent="0.25"/>
  <cols>
    <col min="1" max="1" width="46" bestFit="1" customWidth="1"/>
    <col min="2" max="2" width="8.42578125" bestFit="1" customWidth="1"/>
    <col min="3" max="3" width="25.7109375" customWidth="1"/>
    <col min="4" max="4" width="13.140625" bestFit="1" customWidth="1"/>
    <col min="5" max="5" width="16.7109375" bestFit="1" customWidth="1"/>
    <col min="6" max="6" width="18" bestFit="1" customWidth="1"/>
    <col min="7" max="7" width="17.28515625" bestFit="1" customWidth="1"/>
    <col min="8" max="8" width="16.85546875" bestFit="1" customWidth="1"/>
  </cols>
  <sheetData>
    <row r="1" spans="1:8" x14ac:dyDescent="0.25">
      <c r="A1" s="1" t="s">
        <v>0</v>
      </c>
      <c r="B1" s="1"/>
      <c r="C1" s="1"/>
    </row>
    <row r="3" spans="1:8" x14ac:dyDescent="0.25">
      <c r="A3" t="s">
        <v>3</v>
      </c>
      <c r="B3" t="s">
        <v>2</v>
      </c>
      <c r="D3" t="s">
        <v>6</v>
      </c>
    </row>
    <row r="4" spans="1:8" x14ac:dyDescent="0.25">
      <c r="A4" t="str">
        <f>rng_ticker</f>
        <v>IBM US Equity</v>
      </c>
      <c r="B4" t="str">
        <f>rng_field</f>
        <v>PX_LAST</v>
      </c>
      <c r="D4" t="s">
        <v>1</v>
      </c>
      <c r="E4" t="s">
        <v>7</v>
      </c>
      <c r="F4" t="s">
        <v>8</v>
      </c>
      <c r="G4" t="s">
        <v>9</v>
      </c>
      <c r="H4" t="s">
        <v>10</v>
      </c>
    </row>
    <row r="5" spans="1:8" x14ac:dyDescent="0.25">
      <c r="A5" t="str">
        <f>INPUT!G8</f>
        <v>AAPL US Equity</v>
      </c>
      <c r="B5" t="str">
        <f>INPUT!J8</f>
        <v>PX_ASK</v>
      </c>
      <c r="E5" t="s">
        <v>11</v>
      </c>
      <c r="F5" t="s">
        <v>12</v>
      </c>
      <c r="G5" t="s">
        <v>13</v>
      </c>
      <c r="H5" t="s">
        <v>14</v>
      </c>
    </row>
    <row r="6" spans="1:8" x14ac:dyDescent="0.25">
      <c r="A6" t="str">
        <f>INPUT!G9</f>
        <v>TTE FP Equity</v>
      </c>
      <c r="B6">
        <f>INPUT!J9</f>
        <v>0</v>
      </c>
      <c r="E6" t="s">
        <v>15</v>
      </c>
      <c r="F6" t="s">
        <v>16</v>
      </c>
      <c r="G6" t="s">
        <v>17</v>
      </c>
      <c r="H6" t="s">
        <v>18</v>
      </c>
    </row>
    <row r="7" spans="1:8" x14ac:dyDescent="0.25">
      <c r="A7">
        <f>INPUT!G10</f>
        <v>0</v>
      </c>
      <c r="B7">
        <f>INPUT!J10</f>
        <v>0</v>
      </c>
      <c r="E7" t="s">
        <v>19</v>
      </c>
      <c r="F7" t="s">
        <v>20</v>
      </c>
      <c r="G7" t="s">
        <v>21</v>
      </c>
      <c r="H7" t="s">
        <v>22</v>
      </c>
    </row>
    <row r="8" spans="1:8" x14ac:dyDescent="0.25">
      <c r="A8">
        <f>INPUT!G11</f>
        <v>0</v>
      </c>
      <c r="B8">
        <f>INPUT!J11</f>
        <v>0</v>
      </c>
      <c r="E8" t="s">
        <v>23</v>
      </c>
      <c r="F8" t="s">
        <v>24</v>
      </c>
      <c r="G8" t="s">
        <v>25</v>
      </c>
      <c r="H8" t="s">
        <v>26</v>
      </c>
    </row>
    <row r="9" spans="1:8" x14ac:dyDescent="0.25">
      <c r="A9">
        <f>INPUT!G12</f>
        <v>0</v>
      </c>
      <c r="B9">
        <f>INPUT!J12</f>
        <v>0</v>
      </c>
      <c r="E9" t="s">
        <v>27</v>
      </c>
      <c r="F9" t="s">
        <v>28</v>
      </c>
      <c r="G9" t="s">
        <v>29</v>
      </c>
      <c r="H9" t="s">
        <v>30</v>
      </c>
    </row>
    <row r="10" spans="1:8" x14ac:dyDescent="0.25">
      <c r="A10">
        <f>INPUT!G13</f>
        <v>0</v>
      </c>
      <c r="B10">
        <f>INPUT!J13</f>
        <v>0</v>
      </c>
      <c r="E10" t="s">
        <v>31</v>
      </c>
      <c r="F10" t="s">
        <v>32</v>
      </c>
      <c r="G10" t="s">
        <v>33</v>
      </c>
      <c r="H10" t="s">
        <v>34</v>
      </c>
    </row>
    <row r="11" spans="1:8" x14ac:dyDescent="0.25">
      <c r="A11">
        <f>INPUT!G14</f>
        <v>0</v>
      </c>
      <c r="B11">
        <f>INPUT!J14</f>
        <v>0</v>
      </c>
      <c r="E11" t="s">
        <v>35</v>
      </c>
      <c r="F11" t="s">
        <v>36</v>
      </c>
      <c r="G11" t="s">
        <v>37</v>
      </c>
      <c r="H11" t="s">
        <v>38</v>
      </c>
    </row>
    <row r="12" spans="1:8" x14ac:dyDescent="0.25">
      <c r="A12">
        <f>INPUT!G15</f>
        <v>0</v>
      </c>
      <c r="B12">
        <f>INPUT!J15</f>
        <v>0</v>
      </c>
      <c r="E12" t="s">
        <v>39</v>
      </c>
      <c r="F12" t="s">
        <v>40</v>
      </c>
      <c r="G12" t="s">
        <v>41</v>
      </c>
      <c r="H12" t="s">
        <v>14</v>
      </c>
    </row>
    <row r="13" spans="1:8" x14ac:dyDescent="0.25">
      <c r="A13">
        <f>INPUT!G16</f>
        <v>0</v>
      </c>
      <c r="B13">
        <f>INPUT!J16</f>
        <v>0</v>
      </c>
      <c r="E13" t="s">
        <v>42</v>
      </c>
      <c r="F13" t="s">
        <v>43</v>
      </c>
      <c r="G13" t="s">
        <v>44</v>
      </c>
      <c r="H13" t="s">
        <v>45</v>
      </c>
    </row>
    <row r="14" spans="1:8" x14ac:dyDescent="0.25">
      <c r="A14">
        <f>INPUT!G17</f>
        <v>0</v>
      </c>
      <c r="B14">
        <f>INPUT!J17</f>
        <v>0</v>
      </c>
      <c r="E14" t="s">
        <v>46</v>
      </c>
      <c r="F14" t="s">
        <v>47</v>
      </c>
      <c r="G14" t="s">
        <v>48</v>
      </c>
      <c r="H14" t="s">
        <v>49</v>
      </c>
    </row>
    <row r="15" spans="1:8" x14ac:dyDescent="0.25">
      <c r="A15">
        <f>INPUT!G18</f>
        <v>0</v>
      </c>
      <c r="B15">
        <f>INPUT!J18</f>
        <v>0</v>
      </c>
      <c r="E15" t="s">
        <v>50</v>
      </c>
      <c r="F15" t="s">
        <v>51</v>
      </c>
      <c r="G15" t="s">
        <v>52</v>
      </c>
      <c r="H15" t="s">
        <v>53</v>
      </c>
    </row>
    <row r="16" spans="1:8" x14ac:dyDescent="0.25">
      <c r="A16">
        <f>INPUT!G19</f>
        <v>0</v>
      </c>
      <c r="B16">
        <f>INPUT!J19</f>
        <v>0</v>
      </c>
      <c r="E16" t="s">
        <v>54</v>
      </c>
      <c r="F16" t="s">
        <v>43</v>
      </c>
      <c r="G16" t="s">
        <v>55</v>
      </c>
      <c r="H16" t="s">
        <v>56</v>
      </c>
    </row>
    <row r="17" spans="1:8" x14ac:dyDescent="0.25">
      <c r="A17">
        <f>INPUT!G20</f>
        <v>0</v>
      </c>
      <c r="B17">
        <f>INPUT!J20</f>
        <v>0</v>
      </c>
      <c r="E17" t="s">
        <v>57</v>
      </c>
      <c r="F17" t="s">
        <v>58</v>
      </c>
      <c r="G17" t="s">
        <v>59</v>
      </c>
      <c r="H17" t="s">
        <v>60</v>
      </c>
    </row>
    <row r="18" spans="1:8" x14ac:dyDescent="0.25">
      <c r="A18">
        <f>INPUT!G21</f>
        <v>0</v>
      </c>
      <c r="B18">
        <f>INPUT!J21</f>
        <v>0</v>
      </c>
      <c r="E18" t="s">
        <v>61</v>
      </c>
      <c r="F18" t="s">
        <v>62</v>
      </c>
      <c r="G18" t="s">
        <v>63</v>
      </c>
      <c r="H18" t="s">
        <v>64</v>
      </c>
    </row>
    <row r="19" spans="1:8" x14ac:dyDescent="0.25">
      <c r="A19">
        <f>INPUT!G22</f>
        <v>0</v>
      </c>
      <c r="B19">
        <f>INPUT!J22</f>
        <v>0</v>
      </c>
      <c r="E19" t="s">
        <v>65</v>
      </c>
      <c r="F19" t="s">
        <v>66</v>
      </c>
      <c r="G19" t="s">
        <v>67</v>
      </c>
      <c r="H19" t="s">
        <v>68</v>
      </c>
    </row>
    <row r="20" spans="1:8" x14ac:dyDescent="0.25">
      <c r="A20">
        <f>INPUT!G23</f>
        <v>0</v>
      </c>
      <c r="B20">
        <f>INPUT!J23</f>
        <v>0</v>
      </c>
      <c r="E20" t="s">
        <v>69</v>
      </c>
      <c r="F20" t="s">
        <v>70</v>
      </c>
      <c r="G20" t="s">
        <v>59</v>
      </c>
      <c r="H20" t="s">
        <v>71</v>
      </c>
    </row>
    <row r="21" spans="1:8" x14ac:dyDescent="0.25">
      <c r="A21">
        <f>INPUT!G24</f>
        <v>0</v>
      </c>
      <c r="B21">
        <f>INPUT!J24</f>
        <v>0</v>
      </c>
      <c r="E21" t="s">
        <v>72</v>
      </c>
      <c r="F21" t="s">
        <v>73</v>
      </c>
      <c r="G21" t="s">
        <v>74</v>
      </c>
      <c r="H21" t="s">
        <v>75</v>
      </c>
    </row>
    <row r="22" spans="1:8" x14ac:dyDescent="0.25">
      <c r="A22">
        <f>INPUT!G25</f>
        <v>0</v>
      </c>
      <c r="B22">
        <f>INPUT!J25</f>
        <v>0</v>
      </c>
      <c r="E22" t="s">
        <v>76</v>
      </c>
      <c r="F22" t="s">
        <v>77</v>
      </c>
      <c r="G22" t="s">
        <v>78</v>
      </c>
      <c r="H22" t="s">
        <v>79</v>
      </c>
    </row>
    <row r="23" spans="1:8" x14ac:dyDescent="0.25">
      <c r="A23">
        <f>INPUT!G26</f>
        <v>0</v>
      </c>
      <c r="B23">
        <f>INPUT!J26</f>
        <v>0</v>
      </c>
      <c r="E23" t="s">
        <v>80</v>
      </c>
      <c r="F23" t="s">
        <v>81</v>
      </c>
      <c r="G23" t="s">
        <v>82</v>
      </c>
      <c r="H23" t="s">
        <v>83</v>
      </c>
    </row>
    <row r="24" spans="1:8" x14ac:dyDescent="0.25">
      <c r="A24">
        <f>INPUT!G27</f>
        <v>0</v>
      </c>
      <c r="B24">
        <f>INPUT!J27</f>
        <v>0</v>
      </c>
      <c r="E24" t="s">
        <v>84</v>
      </c>
      <c r="F24" t="s">
        <v>85</v>
      </c>
      <c r="G24" t="s">
        <v>86</v>
      </c>
      <c r="H24" t="s">
        <v>87</v>
      </c>
    </row>
    <row r="25" spans="1:8" x14ac:dyDescent="0.25">
      <c r="A25">
        <f>INPUT!G28</f>
        <v>0</v>
      </c>
      <c r="B25">
        <f>INPUT!J28</f>
        <v>0</v>
      </c>
      <c r="E25" t="s">
        <v>88</v>
      </c>
      <c r="F25" t="s">
        <v>89</v>
      </c>
      <c r="G25" t="s">
        <v>90</v>
      </c>
      <c r="H25" t="s">
        <v>91</v>
      </c>
    </row>
    <row r="26" spans="1:8" x14ac:dyDescent="0.25">
      <c r="A26">
        <f>INPUT!G29</f>
        <v>0</v>
      </c>
      <c r="B26">
        <f>INPUT!J29</f>
        <v>0</v>
      </c>
    </row>
    <row r="27" spans="1:8" x14ac:dyDescent="0.25">
      <c r="A27">
        <f>INPUT!G30</f>
        <v>0</v>
      </c>
      <c r="B27">
        <f>INPUT!J30</f>
        <v>0</v>
      </c>
    </row>
    <row r="28" spans="1:8" x14ac:dyDescent="0.25">
      <c r="A28">
        <f>INPUT!G31</f>
        <v>0</v>
      </c>
      <c r="B28">
        <f>INPUT!J31</f>
        <v>0</v>
      </c>
    </row>
    <row r="29" spans="1:8" x14ac:dyDescent="0.25">
      <c r="A29">
        <f>INPUT!G32</f>
        <v>0</v>
      </c>
      <c r="B29">
        <f>INPUT!J32</f>
        <v>0</v>
      </c>
    </row>
    <row r="30" spans="1:8" x14ac:dyDescent="0.25">
      <c r="A30">
        <f>INPUT!G33</f>
        <v>0</v>
      </c>
      <c r="B30">
        <f>INPUT!J33</f>
        <v>0</v>
      </c>
    </row>
    <row r="31" spans="1:8" x14ac:dyDescent="0.25">
      <c r="A31">
        <f>INPUT!G34</f>
        <v>0</v>
      </c>
      <c r="B31">
        <f>INPUT!J34</f>
        <v>0</v>
      </c>
    </row>
    <row r="32" spans="1:8" x14ac:dyDescent="0.25">
      <c r="A32">
        <f>INPUT!G35</f>
        <v>0</v>
      </c>
      <c r="B32">
        <f>INPUT!J35</f>
        <v>0</v>
      </c>
    </row>
    <row r="33" spans="1:2" x14ac:dyDescent="0.25">
      <c r="A33">
        <f>INPUT!G36</f>
        <v>0</v>
      </c>
      <c r="B33">
        <f>INPUT!J36</f>
        <v>0</v>
      </c>
    </row>
    <row r="34" spans="1:2" x14ac:dyDescent="0.25">
      <c r="A34">
        <f>INPUT!G37</f>
        <v>0</v>
      </c>
      <c r="B34">
        <f>INPUT!J37</f>
        <v>0</v>
      </c>
    </row>
    <row r="35" spans="1:2" x14ac:dyDescent="0.25">
      <c r="A35">
        <f>INPUT!G38</f>
        <v>0</v>
      </c>
      <c r="B35">
        <f>INPUT!J38</f>
        <v>0</v>
      </c>
    </row>
    <row r="36" spans="1:2" x14ac:dyDescent="0.25">
      <c r="A36">
        <f>INPUT!G39</f>
        <v>0</v>
      </c>
      <c r="B36">
        <f>INPUT!J39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DataExample">
                <anchor moveWithCells="1">
                  <from>
                    <xdr:col>2</xdr:col>
                    <xdr:colOff>266700</xdr:colOff>
                    <xdr:row>2</xdr:row>
                    <xdr:rowOff>161925</xdr:rowOff>
                  </from>
                  <to>
                    <xdr:col>2</xdr:col>
                    <xdr:colOff>1314450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nput"/>
  <dimension ref="F1:N22"/>
  <sheetViews>
    <sheetView showGridLines="0" workbookViewId="0">
      <selection activeCell="J9" sqref="J9"/>
    </sheetView>
  </sheetViews>
  <sheetFormatPr baseColWidth="10" defaultColWidth="9.140625" defaultRowHeight="15" x14ac:dyDescent="0.25"/>
  <cols>
    <col min="7" max="7" width="14.28515625" bestFit="1" customWidth="1"/>
    <col min="10" max="10" width="22.42578125" bestFit="1" customWidth="1"/>
    <col min="13" max="13" width="10.5703125" bestFit="1" customWidth="1"/>
    <col min="14" max="14" width="25.140625" bestFit="1" customWidth="1"/>
  </cols>
  <sheetData>
    <row r="1" spans="6:14" x14ac:dyDescent="0.25">
      <c r="G1" s="4"/>
    </row>
    <row r="2" spans="6:14" x14ac:dyDescent="0.25">
      <c r="F2" s="5"/>
      <c r="G2" s="9"/>
      <c r="H2" s="10"/>
      <c r="I2" s="10"/>
      <c r="J2" s="10"/>
      <c r="K2" s="10"/>
      <c r="L2" s="10"/>
      <c r="M2" s="10"/>
      <c r="N2" s="11"/>
    </row>
    <row r="3" spans="6:14" x14ac:dyDescent="0.25">
      <c r="G3" s="23" t="s">
        <v>100</v>
      </c>
      <c r="H3" s="24"/>
      <c r="I3" s="24"/>
      <c r="J3" s="24"/>
      <c r="K3" s="24"/>
      <c r="L3" s="24"/>
      <c r="M3" s="24"/>
      <c r="N3" s="25"/>
    </row>
    <row r="4" spans="6:14" x14ac:dyDescent="0.25">
      <c r="G4" s="12"/>
      <c r="H4" s="13"/>
      <c r="I4" s="13"/>
      <c r="J4" s="13"/>
      <c r="K4" s="13"/>
      <c r="L4" s="13"/>
      <c r="M4" s="13"/>
      <c r="N4" s="14"/>
    </row>
    <row r="6" spans="6:14" x14ac:dyDescent="0.25">
      <c r="G6" s="6" t="s">
        <v>92</v>
      </c>
      <c r="J6" s="6" t="s">
        <v>95</v>
      </c>
      <c r="M6" s="6" t="s">
        <v>93</v>
      </c>
      <c r="N6" s="8">
        <f>DATE(2022,11,1)</f>
        <v>44866</v>
      </c>
    </row>
    <row r="7" spans="6:14" x14ac:dyDescent="0.25">
      <c r="G7" s="2" t="s">
        <v>1</v>
      </c>
      <c r="I7" s="3"/>
      <c r="J7" s="2" t="s">
        <v>4</v>
      </c>
      <c r="M7" s="6" t="s">
        <v>94</v>
      </c>
      <c r="N7" s="8">
        <f>DATE(2022,11,12)</f>
        <v>44877</v>
      </c>
    </row>
    <row r="8" spans="6:14" x14ac:dyDescent="0.25">
      <c r="G8" s="2" t="s">
        <v>102</v>
      </c>
      <c r="J8" s="2" t="s">
        <v>5</v>
      </c>
      <c r="M8" s="6" t="s">
        <v>96</v>
      </c>
      <c r="N8" s="2" t="s">
        <v>101</v>
      </c>
    </row>
    <row r="9" spans="6:14" x14ac:dyDescent="0.25">
      <c r="G9" s="2" t="s">
        <v>103</v>
      </c>
      <c r="J9" s="2"/>
      <c r="M9" s="6" t="s">
        <v>97</v>
      </c>
      <c r="N9" s="2" t="s">
        <v>112</v>
      </c>
    </row>
    <row r="10" spans="6:14" x14ac:dyDescent="0.25">
      <c r="G10" s="2"/>
      <c r="M10" s="6" t="s">
        <v>98</v>
      </c>
      <c r="N10" s="2" t="s">
        <v>109</v>
      </c>
    </row>
    <row r="11" spans="6:14" x14ac:dyDescent="0.25">
      <c r="M11" s="6" t="s">
        <v>99</v>
      </c>
      <c r="N11" s="2" t="s">
        <v>104</v>
      </c>
    </row>
    <row r="13" spans="6:14" x14ac:dyDescent="0.25">
      <c r="G13" s="7"/>
    </row>
    <row r="22" spans="9:9" x14ac:dyDescent="0.25">
      <c r="I22" s="15"/>
    </row>
  </sheetData>
  <mergeCells count="1">
    <mergeCell ref="G3:N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652B9CD-36DD-49E6-8EEC-EB464CD83FE0}">
          <x14:formula1>
            <xm:f>Parameters!$A$2:$A$6</xm:f>
          </x14:formula1>
          <xm:sqref>N11</xm:sqref>
        </x14:dataValidation>
        <x14:dataValidation type="list" allowBlank="1" showInputMessage="1" showErrorMessage="1" xr:uid="{535B2356-7F20-454D-8FB3-F650F31B0B77}">
          <x14:formula1>
            <xm:f>Parameters!$B$2:$B$7</xm:f>
          </x14:formula1>
          <xm:sqref>N10</xm:sqref>
        </x14:dataValidation>
        <x14:dataValidation type="list" allowBlank="1" showInputMessage="1" showErrorMessage="1" xr:uid="{736CA3E9-D42C-4A76-9639-01F2924D89D1}">
          <x14:formula1>
            <xm:f>Parameters!$C$2:$C$4</xm:f>
          </x14:formula1>
          <xm:sqref>N9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64967-514F-4877-9970-CB50AA70F486}">
  <sheetPr codeName="Feuil2"/>
  <dimension ref="A1:G11"/>
  <sheetViews>
    <sheetView tabSelected="1" workbookViewId="0">
      <selection activeCell="K19" sqref="K19"/>
    </sheetView>
  </sheetViews>
  <sheetFormatPr baseColWidth="10" defaultRowHeight="15" x14ac:dyDescent="0.25"/>
  <cols>
    <col min="1" max="1" width="10.7109375" style="19" bestFit="1" customWidth="1"/>
    <col min="2" max="2" width="13.140625" bestFit="1" customWidth="1"/>
    <col min="3" max="3" width="14.28515625" bestFit="1" customWidth="1"/>
  </cols>
  <sheetData>
    <row r="1" spans="1:7" s="22" customFormat="1" x14ac:dyDescent="0.25">
      <c r="A1" s="19"/>
      <c r="B1" s="26" t="s">
        <v>1</v>
      </c>
      <c r="C1" s="26"/>
      <c r="D1" s="26" t="s">
        <v>102</v>
      </c>
      <c r="E1" s="26"/>
      <c r="F1" s="26" t="s">
        <v>103</v>
      </c>
      <c r="G1" s="26"/>
    </row>
    <row r="2" spans="1:7" s="18" customFormat="1" x14ac:dyDescent="0.25">
      <c r="A2" s="19"/>
      <c r="B2" s="18" t="s">
        <v>4</v>
      </c>
      <c r="C2" s="18" t="s">
        <v>5</v>
      </c>
      <c r="D2" s="18" t="s">
        <v>4</v>
      </c>
      <c r="E2" s="18" t="s">
        <v>5</v>
      </c>
      <c r="F2" s="18" t="s">
        <v>4</v>
      </c>
      <c r="G2" s="18" t="s">
        <v>5</v>
      </c>
    </row>
    <row r="3" spans="1:7" x14ac:dyDescent="0.25">
      <c r="A3" s="20">
        <v>44866</v>
      </c>
      <c r="B3" s="17">
        <v>139.85023000000001</v>
      </c>
      <c r="C3">
        <v>139.82999000000001</v>
      </c>
      <c r="D3">
        <v>152.44890000000001</v>
      </c>
      <c r="E3">
        <v>152.36794</v>
      </c>
      <c r="F3">
        <v>56.5</v>
      </c>
      <c r="G3">
        <v>56.5</v>
      </c>
    </row>
    <row r="4" spans="1:7" x14ac:dyDescent="0.25">
      <c r="A4" s="21">
        <v>44867</v>
      </c>
      <c r="B4">
        <v>138.49189999999999</v>
      </c>
      <c r="C4">
        <v>138.55262999999999</v>
      </c>
      <c r="D4">
        <v>146.79150000000001</v>
      </c>
      <c r="E4">
        <v>146.77126000000001</v>
      </c>
      <c r="F4">
        <v>56.23</v>
      </c>
      <c r="G4">
        <v>56.24</v>
      </c>
    </row>
    <row r="5" spans="1:7" x14ac:dyDescent="0.25">
      <c r="A5" s="21">
        <v>44868</v>
      </c>
      <c r="B5">
        <v>137.96039999999999</v>
      </c>
      <c r="C5">
        <v>137.9091</v>
      </c>
      <c r="D5">
        <v>142.48487</v>
      </c>
      <c r="E5">
        <v>142.49512999999999</v>
      </c>
      <c r="F5">
        <v>56.88</v>
      </c>
      <c r="G5">
        <v>56.88</v>
      </c>
    </row>
    <row r="6" spans="1:7" x14ac:dyDescent="0.25">
      <c r="A6" s="21">
        <v>44869</v>
      </c>
      <c r="B6">
        <v>138.02278000000001</v>
      </c>
      <c r="C6">
        <v>138.07316</v>
      </c>
      <c r="D6">
        <v>139.45379</v>
      </c>
      <c r="E6">
        <v>139.47395</v>
      </c>
      <c r="F6">
        <v>57.76</v>
      </c>
      <c r="G6">
        <v>57.77</v>
      </c>
    </row>
    <row r="7" spans="1:7" x14ac:dyDescent="0.25">
      <c r="A7" s="21">
        <v>44872</v>
      </c>
      <c r="B7">
        <v>138.03631999999999</v>
      </c>
      <c r="C7">
        <v>138.03631999999999</v>
      </c>
      <c r="D7">
        <v>138.61505</v>
      </c>
      <c r="E7">
        <v>138.64498</v>
      </c>
      <c r="F7">
        <v>58.16</v>
      </c>
      <c r="G7">
        <v>58.18</v>
      </c>
    </row>
    <row r="8" spans="1:7" x14ac:dyDescent="0.25">
      <c r="A8" s="21">
        <v>44873</v>
      </c>
      <c r="B8">
        <v>138.8184</v>
      </c>
      <c r="C8">
        <v>138.94726</v>
      </c>
      <c r="D8">
        <v>138.28310999999999</v>
      </c>
      <c r="E8">
        <v>138.29302000000001</v>
      </c>
      <c r="F8">
        <v>57.14</v>
      </c>
      <c r="G8">
        <v>57.14</v>
      </c>
    </row>
    <row r="9" spans="1:7" x14ac:dyDescent="0.25">
      <c r="A9" s="21">
        <v>44874</v>
      </c>
      <c r="B9">
        <v>137.02005</v>
      </c>
      <c r="C9">
        <v>136.98015000000001</v>
      </c>
      <c r="D9">
        <v>134.50683000000001</v>
      </c>
      <c r="E9">
        <v>134.52678</v>
      </c>
      <c r="F9">
        <v>56.71</v>
      </c>
      <c r="G9">
        <v>56.71</v>
      </c>
    </row>
    <row r="10" spans="1:7" x14ac:dyDescent="0.25">
      <c r="A10" s="21">
        <v>44875</v>
      </c>
      <c r="B10">
        <v>139.23887999999999</v>
      </c>
      <c r="C10">
        <v>139.16987</v>
      </c>
      <c r="D10">
        <v>144.79937000000001</v>
      </c>
      <c r="E10">
        <v>144.74020999999999</v>
      </c>
      <c r="F10">
        <v>56.52</v>
      </c>
      <c r="G10">
        <v>56.52</v>
      </c>
    </row>
    <row r="11" spans="1:7" x14ac:dyDescent="0.25">
      <c r="A11" s="21">
        <v>44876</v>
      </c>
      <c r="B11">
        <v>138.43550999999999</v>
      </c>
      <c r="C11">
        <v>138.49351999999999</v>
      </c>
      <c r="D11">
        <v>144.74956</v>
      </c>
      <c r="E11">
        <v>144.74956</v>
      </c>
      <c r="F11">
        <v>57.03</v>
      </c>
      <c r="G11">
        <v>57.03</v>
      </c>
    </row>
  </sheetData>
  <mergeCells count="3">
    <mergeCell ref="B1:C1"/>
    <mergeCell ref="D1:E1"/>
    <mergeCell ref="F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output"/>
  <dimension ref="A1"/>
  <sheetViews>
    <sheetView workbookViewId="0">
      <selection activeCell="B2" sqref="B2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601D9-A977-4245-B4DE-C05F995165E1}">
  <sheetPr codeName="Feuil1"/>
  <dimension ref="A1:C6"/>
  <sheetViews>
    <sheetView workbookViewId="0">
      <selection activeCell="C9" sqref="C9"/>
    </sheetView>
  </sheetViews>
  <sheetFormatPr baseColWidth="10" defaultRowHeight="15" x14ac:dyDescent="0.25"/>
  <sheetData>
    <row r="1" spans="1:3" x14ac:dyDescent="0.25">
      <c r="A1" t="s">
        <v>99</v>
      </c>
      <c r="B1" t="s">
        <v>98</v>
      </c>
      <c r="C1" t="s">
        <v>97</v>
      </c>
    </row>
    <row r="2" spans="1:3" x14ac:dyDescent="0.25">
      <c r="A2" t="s">
        <v>104</v>
      </c>
      <c r="B2" t="s">
        <v>109</v>
      </c>
      <c r="C2" s="16" t="s">
        <v>111</v>
      </c>
    </row>
    <row r="3" spans="1:3" x14ac:dyDescent="0.25">
      <c r="A3" t="s">
        <v>105</v>
      </c>
      <c r="B3" t="s">
        <v>110</v>
      </c>
      <c r="C3" s="16" t="s">
        <v>113</v>
      </c>
    </row>
    <row r="4" spans="1:3" x14ac:dyDescent="0.25">
      <c r="A4" t="s">
        <v>106</v>
      </c>
      <c r="C4" s="16" t="s">
        <v>112</v>
      </c>
    </row>
    <row r="5" spans="1:3" x14ac:dyDescent="0.25">
      <c r="A5" t="s">
        <v>107</v>
      </c>
    </row>
    <row r="6" spans="1:3" x14ac:dyDescent="0.25">
      <c r="A6" t="s">
        <v>108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A9AAA-AE51-4318-BCCF-CB383215686A}">
  <sheetPr codeName="sht_data"/>
  <dimension ref="A1"/>
  <sheetViews>
    <sheetView showGridLines="0" workbookViewId="0">
      <selection activeCell="F28" sqref="F28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Sheet1</vt:lpstr>
      <vt:lpstr>INPUT</vt:lpstr>
      <vt:lpstr>Affichage</vt:lpstr>
      <vt:lpstr>OUTPUT</vt:lpstr>
      <vt:lpstr>Parameters</vt:lpstr>
      <vt:lpstr>Data</vt:lpstr>
      <vt:lpstr>currency</vt:lpstr>
      <vt:lpstr>end_date</vt:lpstr>
      <vt:lpstr>rng_days</vt:lpstr>
      <vt:lpstr>rng_field</vt:lpstr>
      <vt:lpstr>rng_fill</vt:lpstr>
      <vt:lpstr>rng_option</vt:lpstr>
      <vt:lpstr>rng_periodicity</vt:lpstr>
      <vt:lpstr>rng_ticker</vt:lpstr>
      <vt:lpstr>Securities</vt:lpstr>
      <vt:lpstr>start_date</vt:lpstr>
    </vt:vector>
  </TitlesOfParts>
  <Company>Bloomberg 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gworrall</dc:creator>
  <cp:lastModifiedBy>LACROIX Camille</cp:lastModifiedBy>
  <dcterms:created xsi:type="dcterms:W3CDTF">2018-07-17T09:03:58Z</dcterms:created>
  <dcterms:modified xsi:type="dcterms:W3CDTF">2023-03-31T09:31:35Z</dcterms:modified>
</cp:coreProperties>
</file>